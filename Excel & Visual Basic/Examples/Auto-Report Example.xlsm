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vbaProject.bin" ContentType="application/vnd.ms-office.vbaProject"/>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docProps/app.xml" ContentType="application/vnd.openxmlformats-officedocument.extended-properties+xml"/>
  <Override PartName="/xl/calcChain.xml" ContentType="application/vnd.openxmlformats-officedocument.spreadsheetml.calcChain+xml"/>
  <Override PartName="/xl/persons/person.xml" ContentType="application/vnd.ms-excel.perso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defaultThemeVersion="166925"/>
  <mc:AlternateContent xmlns:mc="http://schemas.openxmlformats.org/markup-compatibility/2006">
    <mc:Choice Requires="x15">
      <x15ac:absPath xmlns:x15ac="http://schemas.microsoft.com/office/spreadsheetml/2010/11/ac" url="S:\Institutional_Research\.Staff &amp; Admin\Professional Development\CIRPA\GitHub\codeshare\Excel &amp; Visual Basic\Examples\"/>
    </mc:Choice>
  </mc:AlternateContent>
  <xr:revisionPtr revIDLastSave="0" documentId="13_ncr:1_{AAA7E9D0-BF1E-4778-B42B-45CA50576AAF}" xr6:coauthVersionLast="45" xr6:coauthVersionMax="45" xr10:uidLastSave="{00000000-0000-0000-0000-000000000000}"/>
  <bookViews>
    <workbookView xWindow="-108" yWindow="-108" windowWidth="23256" windowHeight="12252" xr2:uid="{A79D312B-FA08-4337-A71A-9E506966AE5E}"/>
  </bookViews>
  <sheets>
    <sheet name="Data" sheetId="3" r:id="rId1"/>
    <sheet name="Report" sheetId="1" r:id="rId2"/>
    <sheet name="Images" sheetId="2" r:id="rId3"/>
  </sheets>
  <definedNames>
    <definedName name="Acceptable">Images!$A$4</definedName>
    <definedName name="Attention">Images!$A$6</definedName>
    <definedName name="KPILight1" localSheetId="1">INDIRECT(Report!$I$8)</definedName>
    <definedName name="KPILight2" localSheetId="1">INDIRECT(Report!$H$8)</definedName>
    <definedName name="KPILight3" localSheetId="1">INDIRECT(Report!$G$8)</definedName>
    <definedName name="KPILight4" localSheetId="1">INDIRECT(Report!$F$8)</definedName>
    <definedName name="KPILight5">INDIRECT(Report!$E$8)</definedName>
    <definedName name="None">Images!$A$8</definedName>
    <definedName name="Superior">Images!$A$2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4" i="3" l="1"/>
  <c r="B14" i="3"/>
  <c r="A14" i="3"/>
  <c r="A15" i="3" l="1"/>
  <c r="E14" i="3" l="1"/>
  <c r="E15" i="3" s="1"/>
  <c r="D14" i="3"/>
  <c r="D15" i="3" s="1"/>
  <c r="C15" i="3"/>
  <c r="B15" i="3"/>
  <c r="H4" i="1"/>
  <c r="F4" i="1"/>
  <c r="I2" i="1"/>
  <c r="H2" i="1"/>
  <c r="G2" i="1"/>
  <c r="A2" i="1"/>
  <c r="A10" i="1" s="1"/>
  <c r="G18" i="3" s="1"/>
  <c r="I8" i="1" l="1"/>
  <c r="G8" i="1"/>
  <c r="H8" i="1"/>
  <c r="F8" i="1"/>
  <c r="E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E8" authorId="0" shapeId="0" xr:uid="{34E2A715-1CAB-456C-B039-900F6DB4F812}">
      <text>
        <r>
          <rPr>
            <b/>
            <sz val="9"/>
            <color indexed="81"/>
            <rFont val="Tahoma"/>
            <family val="2"/>
          </rPr>
          <t>Fraser:</t>
        </r>
        <r>
          <rPr>
            <sz val="9"/>
            <color indexed="81"/>
            <rFont val="Tahoma"/>
            <family val="2"/>
          </rPr>
          <t xml:space="preserve">
These bobbles are images (with text boxes on top). The images are assigned to equal a named cell. The named cell is defined as an INDIRECT to the cell behind this image. The value of the cell behind changes based on the value of the metric. Add it together, and the bobble dynamically takes on the appearance of the named entity (picture) in the cell.</t>
        </r>
      </text>
    </comment>
    <comment ref="A10" authorId="0" shapeId="0" xr:uid="{F8094696-6743-43E5-8101-DCB63836209D}">
      <text>
        <r>
          <rPr>
            <b/>
            <sz val="9"/>
            <color indexed="81"/>
            <rFont val="Tahoma"/>
            <family val="2"/>
          </rPr>
          <t>Fraser:</t>
        </r>
        <r>
          <rPr>
            <sz val="9"/>
            <color indexed="81"/>
            <rFont val="Tahoma"/>
            <family val="2"/>
          </rPr>
          <t xml:space="preserve">
File naming convention formula stored here.</t>
        </r>
      </text>
    </comment>
  </commentList>
</comments>
</file>

<file path=xl/sharedStrings.xml><?xml version="1.0" encoding="utf-8"?>
<sst xmlns="http://schemas.openxmlformats.org/spreadsheetml/2006/main" count="70" uniqueCount="64">
  <si>
    <t xml:space="preserve">         Report Card: High-level Program Performance</t>
  </si>
  <si>
    <t>Sequence</t>
  </si>
  <si>
    <t>School</t>
  </si>
  <si>
    <t>Credential</t>
  </si>
  <si>
    <t>APS Code</t>
  </si>
  <si>
    <t>MCU
Code</t>
  </si>
  <si>
    <t>Program
Code</t>
  </si>
  <si>
    <t>Program Name</t>
  </si>
  <si>
    <t>Superior</t>
  </si>
  <si>
    <t>Acceptable</t>
  </si>
  <si>
    <t>Attention</t>
  </si>
  <si>
    <t>N/A</t>
  </si>
  <si>
    <t>Zip</t>
  </si>
  <si>
    <t>Code</t>
  </si>
  <si>
    <t>Name</t>
  </si>
  <si>
    <t>MCU</t>
  </si>
  <si>
    <t>APS</t>
  </si>
  <si>
    <t>2014KPI</t>
  </si>
  <si>
    <t>2015KPI</t>
  </si>
  <si>
    <t>2016KPI</t>
  </si>
  <si>
    <t>2017KPI</t>
  </si>
  <si>
    <t>2018KPI</t>
  </si>
  <si>
    <t>BUSINESS - PURCHASING</t>
  </si>
  <si>
    <t>PROJECT MANAGEMENT</t>
  </si>
  <si>
    <t>PROCESS QUALITY ENGINEERING</t>
  </si>
  <si>
    <t>ANIMATION</t>
  </si>
  <si>
    <t>0021</t>
  </si>
  <si>
    <t>0386</t>
  </si>
  <si>
    <t>1129</t>
  </si>
  <si>
    <t>1072</t>
  </si>
  <si>
    <t>03007</t>
  </si>
  <si>
    <t>01211</t>
  </si>
  <si>
    <t>07532</t>
  </si>
  <si>
    <t>06892</t>
  </si>
  <si>
    <t>Diploma</t>
  </si>
  <si>
    <t>Grad Certificate</t>
  </si>
  <si>
    <t>Advance Diploma</t>
  </si>
  <si>
    <t>Business</t>
  </si>
  <si>
    <t>Engineering</t>
  </si>
  <si>
    <t>Media</t>
  </si>
  <si>
    <t>FW/FW/FW
FW/FW/CCC/CFW</t>
  </si>
  <si>
    <t>FW/FW/FW</t>
  </si>
  <si>
    <t>FW/FW</t>
  </si>
  <si>
    <t>FWS</t>
  </si>
  <si>
    <t>Report Bobbles</t>
  </si>
  <si>
    <t>Program-Related Student KPIs</t>
  </si>
  <si>
    <t>Program Data</t>
  </si>
  <si>
    <r>
      <t>File naming convention</t>
    </r>
    <r>
      <rPr>
        <i/>
        <sz val="12"/>
        <rFont val="SWISS"/>
      </rPr>
      <t xml:space="preserve"> [A10 on Report tab]:</t>
    </r>
  </si>
  <si>
    <t>A2 = "Superior"</t>
  </si>
  <si>
    <t>Named Ranges:</t>
  </si>
  <si>
    <t>A4 = "Acceptable"</t>
  </si>
  <si>
    <t>A6 = "Attention"</t>
  </si>
  <si>
    <t>A8 = "None"</t>
  </si>
  <si>
    <t>Export all four programs above to separate PDF documents
(Saved to C:\ {drive root} by default)</t>
  </si>
  <si>
    <t>Export all four programs above to separate Excel files, sheets protected with password (pw)
(Saved to C:\  {drive root} by default)</t>
  </si>
  <si>
    <t>fhay@conestogac.on.ca</t>
  </si>
  <si>
    <r>
      <t xml:space="preserve">Tossed together by </t>
    </r>
    <r>
      <rPr>
        <b/>
        <i/>
        <sz val="12"/>
        <rFont val="SWISS"/>
      </rPr>
      <t>Fraser Hay</t>
    </r>
    <r>
      <rPr>
        <i/>
        <sz val="12"/>
        <rFont val="SWISS"/>
      </rPr>
      <t>, Conestoga College ITAL (Kitchener, Ontario)</t>
    </r>
  </si>
  <si>
    <t>The "Report" tab uses the Program Code (Cell F2) as the main "key" cell, from which all other data is looked up.</t>
  </si>
  <si>
    <r>
      <rPr>
        <i/>
        <sz val="12"/>
        <color theme="4"/>
        <rFont val="Calibri"/>
        <family val="2"/>
      </rPr>
      <t xml:space="preserve">←  </t>
    </r>
    <r>
      <rPr>
        <i/>
        <sz val="12"/>
        <color theme="4"/>
        <rFont val="SWISS"/>
      </rPr>
      <t>Example of INDEX &amp; MATCH together.</t>
    </r>
  </si>
  <si>
    <t>--</t>
  </si>
  <si>
    <t>To view the code behind these buttons, go to the Developer Tab &gt; Visual Basic</t>
  </si>
  <si>
    <t>If you don't see the developer tab, Google how to enable it!</t>
  </si>
  <si>
    <t>You can do something like this in many other platforms, like R. Here's an example: https://github.com/Zanidean/Automatic-Reporting</t>
  </si>
  <si>
    <t>See additional notes below.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</si>
</sst>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4">
    <font>
      <sz val="12"/>
      <name val="SWISS"/>
    </font>
    <font>
      <sz val="12"/>
      <color theme="0"/>
      <name val="SWISS"/>
    </font>
    <font>
      <b/>
      <sz val="14"/>
      <name val="SWISS"/>
    </font>
    <font>
      <b/>
      <sz val="13.5"/>
      <name val="SWISS"/>
    </font>
    <font>
      <sz val="8"/>
      <name val="Calibri"/>
      <family val="2"/>
      <scheme val="minor"/>
    </font>
    <font>
      <b/>
      <sz val="16"/>
      <name val="Agency FB"/>
      <family val="2"/>
    </font>
    <font>
      <b/>
      <sz val="14"/>
      <color theme="0"/>
      <name val="Calibri"/>
      <family val="2"/>
      <scheme val="minor"/>
    </font>
    <font>
      <sz val="10"/>
      <name val="SWISS"/>
    </font>
    <font>
      <sz val="11"/>
      <name val="SWISS"/>
    </font>
    <font>
      <b/>
      <sz val="16"/>
      <name val="Calibri"/>
      <family val="2"/>
      <scheme val="minor"/>
    </font>
    <font>
      <b/>
      <sz val="12"/>
      <color theme="0"/>
      <name val="Calibri"/>
      <family val="2"/>
      <scheme val="minor"/>
    </font>
    <font>
      <sz val="1"/>
      <color theme="0"/>
      <name val="Agency FB"/>
      <family val="2"/>
    </font>
    <font>
      <b/>
      <sz val="12"/>
      <name val="SWISS"/>
    </font>
    <font>
      <b/>
      <i/>
      <sz val="12"/>
      <name val="SWISS"/>
    </font>
    <font>
      <b/>
      <sz val="16"/>
      <color rgb="FF000000"/>
      <name val="Arial"/>
      <family val="2"/>
    </font>
    <font>
      <i/>
      <sz val="12"/>
      <name val="SWISS"/>
    </font>
    <font>
      <u/>
      <sz val="12"/>
      <color theme="10"/>
      <name val="SWISS"/>
    </font>
    <font>
      <i/>
      <u/>
      <sz val="12"/>
      <color theme="10"/>
      <name val="Arial Narrow"/>
      <family val="2"/>
    </font>
    <font>
      <i/>
      <sz val="12"/>
      <color theme="4"/>
      <name val="SWISS"/>
      <family val="2"/>
    </font>
    <font>
      <i/>
      <sz val="12"/>
      <color theme="4"/>
      <name val="Calibri"/>
      <family val="2"/>
    </font>
    <font>
      <i/>
      <sz val="12"/>
      <color theme="4"/>
      <name val="SWISS"/>
    </font>
    <font>
      <sz val="9"/>
      <color indexed="81"/>
      <name val="Tahoma"/>
      <family val="2"/>
    </font>
    <font>
      <b/>
      <sz val="9"/>
      <color indexed="81"/>
      <name val="Tahoma"/>
      <family val="2"/>
    </font>
    <font>
      <i/>
      <sz val="10"/>
      <name val="SWISS"/>
    </font>
  </fonts>
  <fills count="8">
    <fill>
      <patternFill patternType="none"/>
    </fill>
    <fill>
      <patternFill patternType="gray125"/>
    </fill>
    <fill>
      <patternFill patternType="solid">
        <fgColor theme="2"/>
        <bgColor indexed="64"/>
      </patternFill>
    </fill>
    <fill>
      <patternFill patternType="solid">
        <fgColor rgb="FF885202"/>
        <bgColor indexed="64"/>
      </patternFill>
    </fill>
    <fill>
      <patternFill patternType="solid">
        <fgColor theme="0" tint="-4.9989318521683403E-2"/>
        <bgColor indexed="64"/>
      </patternFill>
    </fill>
    <fill>
      <patternFill patternType="solid">
        <fgColor theme="0"/>
        <bgColor indexed="64"/>
      </patternFill>
    </fill>
    <fill>
      <patternFill patternType="solid">
        <fgColor theme="5" tint="0.79998168889431442"/>
        <bgColor indexed="64"/>
      </patternFill>
    </fill>
    <fill>
      <patternFill patternType="solid">
        <fgColor theme="6"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style="thin">
        <color auto="1"/>
      </top>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right/>
      <top/>
      <bottom style="thin">
        <color auto="1"/>
      </bottom>
      <diagonal/>
    </border>
    <border>
      <left style="hair">
        <color indexed="64"/>
      </left>
      <right style="hair">
        <color indexed="64"/>
      </right>
      <top style="thin">
        <color indexed="64"/>
      </top>
      <bottom style="thin">
        <color indexed="64"/>
      </bottom>
      <diagonal/>
    </border>
    <border>
      <left/>
      <right style="hair">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style="hair">
        <color indexed="64"/>
      </left>
      <right/>
      <top style="thin">
        <color auto="1"/>
      </top>
      <bottom style="thin">
        <color indexed="64"/>
      </bottom>
      <diagonal/>
    </border>
  </borders>
  <cellStyleXfs count="2">
    <xf numFmtId="0" fontId="0" fillId="0" borderId="0"/>
    <xf numFmtId="0" fontId="16" fillId="0" borderId="0" applyNumberFormat="0" applyFill="0" applyBorder="0" applyAlignment="0" applyProtection="0"/>
  </cellStyleXfs>
  <cellXfs count="68">
    <xf numFmtId="0" fontId="0" fillId="0" borderId="0" xfId="0"/>
    <xf numFmtId="0" fontId="0" fillId="0" borderId="0" xfId="0" applyFill="1"/>
    <xf numFmtId="0" fontId="1" fillId="0" borderId="8" xfId="0" applyFont="1" applyFill="1" applyBorder="1" applyAlignment="1">
      <alignment horizontal="center" vertical="center"/>
    </xf>
    <xf numFmtId="0" fontId="0" fillId="0" borderId="9" xfId="0" applyFill="1" applyBorder="1"/>
    <xf numFmtId="0" fontId="5" fillId="2" borderId="10" xfId="0" applyFont="1" applyFill="1" applyBorder="1" applyAlignment="1">
      <alignment horizontal="center" vertical="center"/>
    </xf>
    <xf numFmtId="0" fontId="0" fillId="2" borderId="10" xfId="0" applyFill="1" applyBorder="1"/>
    <xf numFmtId="0" fontId="0" fillId="2" borderId="11" xfId="0" applyFill="1" applyBorder="1"/>
    <xf numFmtId="0" fontId="0" fillId="0" borderId="0" xfId="0" applyFont="1"/>
    <xf numFmtId="0" fontId="1" fillId="0" borderId="0" xfId="0" applyFont="1"/>
    <xf numFmtId="0" fontId="0" fillId="0" borderId="1" xfId="0" applyFont="1" applyBorder="1" applyAlignment="1">
      <alignment horizontal="center" vertical="center"/>
    </xf>
    <xf numFmtId="0" fontId="2" fillId="0" borderId="1" xfId="0" applyFont="1" applyBorder="1" applyAlignment="1">
      <alignment horizontal="center" vertical="center"/>
    </xf>
    <xf numFmtId="0" fontId="10" fillId="3" borderId="10" xfId="0" applyFont="1" applyFill="1" applyBorder="1" applyAlignment="1">
      <alignment horizontal="center" vertical="center" wrapText="1"/>
    </xf>
    <xf numFmtId="0" fontId="10" fillId="3" borderId="11" xfId="0" applyFont="1" applyFill="1" applyBorder="1" applyAlignment="1">
      <alignment horizontal="center" vertical="center" wrapText="1"/>
    </xf>
    <xf numFmtId="0" fontId="1" fillId="5" borderId="0" xfId="0" applyFont="1" applyFill="1"/>
    <xf numFmtId="0" fontId="0" fillId="5" borderId="0" xfId="0" applyFill="1"/>
    <xf numFmtId="0" fontId="11" fillId="5" borderId="0" xfId="0" applyFont="1" applyFill="1"/>
    <xf numFmtId="0" fontId="12" fillId="0" borderId="0" xfId="0" applyFont="1"/>
    <xf numFmtId="0" fontId="0" fillId="0" borderId="0" xfId="0" quotePrefix="1"/>
    <xf numFmtId="0" fontId="12" fillId="0" borderId="7" xfId="0" applyFont="1" applyBorder="1"/>
    <xf numFmtId="0" fontId="0" fillId="0" borderId="7" xfId="0" applyBorder="1"/>
    <xf numFmtId="1" fontId="0" fillId="0" borderId="1" xfId="0" applyNumberFormat="1" applyBorder="1" applyAlignment="1">
      <alignment horizontal="center"/>
    </xf>
    <xf numFmtId="0" fontId="0" fillId="0" borderId="1" xfId="0" applyBorder="1" applyAlignment="1">
      <alignment horizontal="center"/>
    </xf>
    <xf numFmtId="9" fontId="0" fillId="0" borderId="0" xfId="0" applyNumberFormat="1" applyAlignment="1">
      <alignment horizontal="center"/>
    </xf>
    <xf numFmtId="0" fontId="13" fillId="0" borderId="0" xfId="0" applyFont="1"/>
    <xf numFmtId="0" fontId="15" fillId="0" borderId="0" xfId="0" applyFont="1"/>
    <xf numFmtId="164" fontId="2" fillId="4" borderId="1" xfId="0" quotePrefix="1" applyNumberFormat="1" applyFont="1" applyFill="1" applyBorder="1" applyAlignment="1">
      <alignment horizontal="center" vertical="center"/>
    </xf>
    <xf numFmtId="0" fontId="17" fillId="0" borderId="0" xfId="1" applyFont="1"/>
    <xf numFmtId="0" fontId="0" fillId="6" borderId="1" xfId="0" quotePrefix="1" applyFill="1" applyBorder="1" applyAlignment="1">
      <alignment horizontal="center"/>
    </xf>
    <xf numFmtId="0" fontId="18" fillId="0" borderId="0" xfId="0" applyFont="1" applyAlignment="1">
      <alignment horizontal="left" indent="1"/>
    </xf>
    <xf numFmtId="9" fontId="0" fillId="0" borderId="0" xfId="0" quotePrefix="1" applyNumberFormat="1" applyAlignment="1">
      <alignment horizontal="center"/>
    </xf>
    <xf numFmtId="0" fontId="23" fillId="0" borderId="0" xfId="0" applyFont="1"/>
    <xf numFmtId="0" fontId="0" fillId="0" borderId="0" xfId="0" applyAlignment="1">
      <alignment horizontal="center" vertical="top" wrapText="1"/>
    </xf>
    <xf numFmtId="0" fontId="3" fillId="0" borderId="11" xfId="0" applyFont="1" applyBorder="1" applyAlignment="1">
      <alignment horizontal="right" vertical="top" wrapText="1"/>
    </xf>
    <xf numFmtId="0" fontId="0" fillId="0" borderId="10" xfId="0" applyBorder="1" applyAlignment="1">
      <alignment horizontal="right" vertical="top" wrapText="1"/>
    </xf>
    <xf numFmtId="0" fontId="6" fillId="3" borderId="11" xfId="0" applyFont="1" applyFill="1" applyBorder="1" applyAlignment="1">
      <alignment horizontal="center" vertical="center" wrapText="1"/>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1" fillId="0" borderId="15" xfId="0" applyFont="1" applyFill="1" applyBorder="1" applyAlignment="1">
      <alignment horizontal="center" vertical="center"/>
    </xf>
    <xf numFmtId="0" fontId="1" fillId="0" borderId="10" xfId="0" applyFont="1" applyFill="1" applyBorder="1" applyAlignment="1">
      <alignment horizontal="center" vertical="center"/>
    </xf>
    <xf numFmtId="0" fontId="1" fillId="0" borderId="12" xfId="0" applyFont="1" applyFill="1" applyBorder="1" applyAlignment="1">
      <alignment horizontal="center" vertical="center"/>
    </xf>
    <xf numFmtId="0" fontId="4" fillId="2" borderId="10"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10" fillId="3" borderId="10" xfId="0" applyFont="1" applyFill="1" applyBorder="1" applyAlignment="1">
      <alignment horizontal="center" vertical="center"/>
    </xf>
    <xf numFmtId="0" fontId="10" fillId="3" borderId="12" xfId="0" applyFont="1" applyFill="1" applyBorder="1" applyAlignment="1">
      <alignment horizontal="center" vertical="center"/>
    </xf>
    <xf numFmtId="0" fontId="7" fillId="0" borderId="11" xfId="0" applyFont="1" applyBorder="1" applyAlignment="1">
      <alignment horizontal="center" vertical="center" wrapText="1"/>
    </xf>
    <xf numFmtId="0" fontId="7" fillId="0" borderId="10" xfId="0" applyFont="1" applyBorder="1" applyAlignment="1">
      <alignment horizontal="center" vertical="center" wrapText="1"/>
    </xf>
    <xf numFmtId="0" fontId="7" fillId="0" borderId="12" xfId="0" applyFont="1" applyBorder="1" applyAlignment="1">
      <alignment horizontal="center" vertical="center" wrapText="1"/>
    </xf>
    <xf numFmtId="0" fontId="10" fillId="3" borderId="11" xfId="0" applyFont="1" applyFill="1" applyBorder="1" applyAlignment="1">
      <alignment horizontal="center" vertical="center"/>
    </xf>
    <xf numFmtId="0" fontId="8" fillId="0" borderId="11" xfId="0" applyFont="1" applyBorder="1" applyAlignment="1">
      <alignment horizontal="center" vertical="center" wrapText="1"/>
    </xf>
    <xf numFmtId="0" fontId="8" fillId="0" borderId="10" xfId="0" applyFont="1" applyBorder="1" applyAlignment="1">
      <alignment horizontal="center" vertical="center" wrapText="1"/>
    </xf>
    <xf numFmtId="0" fontId="8" fillId="0" borderId="12" xfId="0" applyFont="1" applyBorder="1" applyAlignment="1">
      <alignment horizontal="center" vertical="center" wrapText="1"/>
    </xf>
    <xf numFmtId="0" fontId="6" fillId="3" borderId="1" xfId="0" applyFont="1" applyFill="1" applyBorder="1" applyAlignment="1">
      <alignment horizontal="center" vertical="center" wrapText="1"/>
    </xf>
    <xf numFmtId="0" fontId="9" fillId="0" borderId="5" xfId="0" applyFont="1" applyBorder="1" applyAlignment="1">
      <alignment horizontal="center" vertical="center" wrapText="1" shrinkToFit="1"/>
    </xf>
    <xf numFmtId="0" fontId="9" fillId="0" borderId="2" xfId="0" applyFont="1" applyBorder="1" applyAlignment="1">
      <alignment horizontal="center" vertical="center" wrapText="1" shrinkToFit="1"/>
    </xf>
    <xf numFmtId="0" fontId="9" fillId="0" borderId="4" xfId="0" applyFont="1" applyBorder="1" applyAlignment="1">
      <alignment horizontal="center" vertical="center" wrapText="1" shrinkToFit="1"/>
    </xf>
    <xf numFmtId="0" fontId="9" fillId="0" borderId="3" xfId="0" applyFont="1" applyBorder="1" applyAlignment="1">
      <alignment horizontal="center" vertical="center" wrapText="1" shrinkToFit="1"/>
    </xf>
    <xf numFmtId="0" fontId="9" fillId="0" borderId="0" xfId="0" applyFont="1" applyBorder="1" applyAlignment="1">
      <alignment horizontal="center" vertical="center" wrapText="1" shrinkToFit="1"/>
    </xf>
    <xf numFmtId="0" fontId="9" fillId="0" borderId="13" xfId="0" applyFont="1" applyBorder="1" applyAlignment="1">
      <alignment horizontal="center" vertical="center" wrapText="1" shrinkToFit="1"/>
    </xf>
    <xf numFmtId="0" fontId="9" fillId="0" borderId="14" xfId="0" applyFont="1" applyBorder="1" applyAlignment="1">
      <alignment horizontal="center" vertical="center" wrapText="1" shrinkToFit="1"/>
    </xf>
    <xf numFmtId="0" fontId="9" fillId="0" borderId="7" xfId="0" applyFont="1" applyBorder="1" applyAlignment="1">
      <alignment horizontal="center" vertical="center" wrapText="1" shrinkToFit="1"/>
    </xf>
    <xf numFmtId="0" fontId="9" fillId="0" borderId="6" xfId="0" applyFont="1" applyBorder="1" applyAlignment="1">
      <alignment horizontal="center" vertical="center" wrapText="1" shrinkToFit="1"/>
    </xf>
    <xf numFmtId="0" fontId="10" fillId="3" borderId="11" xfId="0" applyFont="1" applyFill="1" applyBorder="1" applyAlignment="1">
      <alignment horizontal="center" vertical="center" wrapText="1"/>
    </xf>
    <xf numFmtId="0" fontId="10" fillId="3" borderId="10" xfId="0" applyFont="1" applyFill="1" applyBorder="1" applyAlignment="1">
      <alignment horizontal="center" vertical="center" wrapText="1"/>
    </xf>
    <xf numFmtId="0" fontId="23" fillId="0" borderId="7" xfId="0" applyFont="1" applyBorder="1"/>
    <xf numFmtId="0" fontId="12" fillId="0" borderId="10" xfId="0" applyFont="1" applyBorder="1"/>
    <xf numFmtId="0" fontId="0" fillId="0" borderId="10" xfId="0" applyBorder="1"/>
    <xf numFmtId="0" fontId="12" fillId="7" borderId="10" xfId="0" applyFont="1" applyFill="1" applyBorder="1"/>
    <xf numFmtId="0" fontId="0" fillId="7" borderId="10" xfId="0" applyFill="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2.xml"/><Relationship Id="rId5" Type="http://schemas.openxmlformats.org/officeDocument/2006/relationships/styles" Target="styles.xml"/><Relationship Id="rId10" Type="http://schemas.openxmlformats.org/officeDocument/2006/relationships/customXml" Target="../customXml/item1.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3" Type="http://schemas.openxmlformats.org/officeDocument/2006/relationships/image" Target="../media/image9.jpg"/><Relationship Id="rId2" Type="http://schemas.openxmlformats.org/officeDocument/2006/relationships/image" Target="../media/image8.jpg"/><Relationship Id="rId1" Type="http://schemas.openxmlformats.org/officeDocument/2006/relationships/image" Target="../media/image7.jpg"/><Relationship Id="rId4" Type="http://schemas.openxmlformats.org/officeDocument/2006/relationships/image" Target="../media/image10.jpg"/></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19</xdr:row>
          <xdr:rowOff>7620</xdr:rowOff>
        </xdr:from>
        <xdr:to>
          <xdr:col>3</xdr:col>
          <xdr:colOff>335280</xdr:colOff>
          <xdr:row>21</xdr:row>
          <xdr:rowOff>182880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1600" b="1" i="0" u="none" strike="noStrike" baseline="0">
                  <a:solidFill>
                    <a:srgbClr val="000000"/>
                  </a:solidFill>
                  <a:latin typeface="Arial"/>
                  <a:cs typeface="Arial"/>
                </a:rPr>
                <a:t>Export PDFs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419100</xdr:colOff>
          <xdr:row>19</xdr:row>
          <xdr:rowOff>7620</xdr:rowOff>
        </xdr:from>
        <xdr:to>
          <xdr:col>5</xdr:col>
          <xdr:colOff>754380</xdr:colOff>
          <xdr:row>22</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1600" b="1" i="0" u="none" strike="noStrike" baseline="0">
                  <a:solidFill>
                    <a:srgbClr val="000000"/>
                  </a:solidFill>
                  <a:latin typeface="Arial"/>
                  <a:cs typeface="Arial"/>
                </a:rPr>
                <a:t>Export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98534</xdr:colOff>
      <xdr:row>7</xdr:row>
      <xdr:rowOff>32844</xdr:rowOff>
    </xdr:from>
    <xdr:to>
      <xdr:col>10</xdr:col>
      <xdr:colOff>180676</xdr:colOff>
      <xdr:row>7</xdr:row>
      <xdr:rowOff>699594</xdr:rowOff>
    </xdr:to>
    <xdr:grpSp>
      <xdr:nvGrpSpPr>
        <xdr:cNvPr id="2" name="Y1KPISat">
          <a:extLst>
            <a:ext uri="{FF2B5EF4-FFF2-40B4-BE49-F238E27FC236}">
              <a16:creationId xmlns:a16="http://schemas.microsoft.com/office/drawing/2014/main" id="{00000000-0008-0000-0100-000002000000}"/>
            </a:ext>
          </a:extLst>
        </xdr:cNvPr>
        <xdr:cNvGrpSpPr/>
      </xdr:nvGrpSpPr>
      <xdr:grpSpPr>
        <a:xfrm>
          <a:off x="6339314" y="2090244"/>
          <a:ext cx="706982" cy="666750"/>
          <a:chOff x="4051787" y="2176096"/>
          <a:chExt cx="712613" cy="701305"/>
        </a:xfrm>
      </xdr:grpSpPr>
      <mc:AlternateContent xmlns:mc="http://schemas.openxmlformats.org/markup-compatibility/2006" xmlns:a14="http://schemas.microsoft.com/office/drawing/2010/main">
        <mc:Choice Requires="a14">
          <xdr:pic>
            <xdr:nvPicPr>
              <xdr:cNvPr id="3" name="Picture 2">
                <a:extLst>
                  <a:ext uri="{FF2B5EF4-FFF2-40B4-BE49-F238E27FC236}">
                    <a16:creationId xmlns:a16="http://schemas.microsoft.com/office/drawing/2014/main" id="{00000000-0008-0000-0100-000003000000}"/>
                  </a:ext>
                </a:extLst>
              </xdr:cNvPr>
              <xdr:cNvPicPr>
                <a:picLocks noChangeAspect="1"/>
                <a:extLst>
                  <a:ext uri="{84589F7E-364E-4C9E-8A38-B11213B215E9}">
                    <a14:cameraTool cellRange="KPILight1" spid="_x0000_s1395"/>
                  </a:ext>
                </a:extLst>
              </xdr:cNvPicPr>
            </xdr:nvPicPr>
            <xdr:blipFill>
              <a:blip xmlns:r="http://schemas.openxmlformats.org/officeDocument/2006/relationships" r:embed="rId1"/>
              <a:stretch>
                <a:fillRect/>
              </a:stretch>
            </xdr:blipFill>
            <xdr:spPr>
              <a:xfrm>
                <a:off x="4051787" y="2176096"/>
                <a:ext cx="698300" cy="701305"/>
              </a:xfrm>
              <a:prstGeom prst="rect">
                <a:avLst/>
              </a:prstGeom>
            </xdr:spPr>
          </xdr:pic>
        </mc:Choice>
        <mc:Fallback xmlns=""/>
      </mc:AlternateContent>
      <xdr:sp macro="" textlink="$I$8">
        <xdr:nvSpPr>
          <xdr:cNvPr id="4" name="TextBox 3">
            <a:extLst>
              <a:ext uri="{FF2B5EF4-FFF2-40B4-BE49-F238E27FC236}">
                <a16:creationId xmlns:a16="http://schemas.microsoft.com/office/drawing/2014/main" id="{00000000-0008-0000-0100-000004000000}"/>
              </a:ext>
            </a:extLst>
          </xdr:cNvPr>
          <xdr:cNvSpPr txBox="1"/>
        </xdr:nvSpPr>
        <xdr:spPr>
          <a:xfrm>
            <a:off x="4106398" y="2623770"/>
            <a:ext cx="607443" cy="2124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A40FF-C902-4E7B-8823-D28CCCCD10DF}" type="TxLink">
              <a:rPr lang="en-US" sz="650" b="0" i="0" u="none" strike="noStrike">
                <a:solidFill>
                  <a:sysClr val="windowText" lastClr="000000"/>
                </a:solidFill>
                <a:latin typeface="SWISS"/>
              </a:rPr>
              <a:pPr algn="ctr"/>
              <a:t>Superior</a:t>
            </a:fld>
            <a:endParaRPr lang="en-CA" sz="650">
              <a:solidFill>
                <a:sysClr val="windowText" lastClr="000000"/>
              </a:solidFill>
            </a:endParaRPr>
          </a:p>
        </xdr:txBody>
      </xdr:sp>
      <xdr:sp macro="" textlink="Data!E14">
        <xdr:nvSpPr>
          <xdr:cNvPr id="5" name="TextBox 4">
            <a:extLst>
              <a:ext uri="{FF2B5EF4-FFF2-40B4-BE49-F238E27FC236}">
                <a16:creationId xmlns:a16="http://schemas.microsoft.com/office/drawing/2014/main" id="{00000000-0008-0000-0100-000005000000}"/>
              </a:ext>
            </a:extLst>
          </xdr:cNvPr>
          <xdr:cNvSpPr txBox="1"/>
        </xdr:nvSpPr>
        <xdr:spPr>
          <a:xfrm>
            <a:off x="4054353" y="2302598"/>
            <a:ext cx="710047" cy="373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98DC410-CAD8-417C-A3E3-3EBAAA8CE956}" type="TxLink">
              <a:rPr lang="en-US" sz="3200" b="1" i="0" u="none" strike="noStrike">
                <a:solidFill>
                  <a:srgbClr val="000000"/>
                </a:solidFill>
                <a:latin typeface="Agency FB" panose="020B0503020202020204" pitchFamily="34" charset="0"/>
              </a:rPr>
              <a:pPr algn="ctr"/>
              <a:t>91</a:t>
            </a:fld>
            <a:endParaRPr lang="en-CA" sz="3200" b="1" i="0">
              <a:solidFill>
                <a:sysClr val="windowText" lastClr="000000"/>
              </a:solidFill>
              <a:latin typeface="Agency FB" panose="020B0503020202020204" pitchFamily="34" charset="0"/>
            </a:endParaRPr>
          </a:p>
        </xdr:txBody>
      </xdr:sp>
    </xdr:grpSp>
    <xdr:clientData/>
  </xdr:twoCellAnchor>
  <xdr:twoCellAnchor>
    <xdr:from>
      <xdr:col>7</xdr:col>
      <xdr:colOff>60310</xdr:colOff>
      <xdr:row>7</xdr:row>
      <xdr:rowOff>29308</xdr:rowOff>
    </xdr:from>
    <xdr:to>
      <xdr:col>7</xdr:col>
      <xdr:colOff>782520</xdr:colOff>
      <xdr:row>7</xdr:row>
      <xdr:rowOff>696058</xdr:rowOff>
    </xdr:to>
    <xdr:grpSp>
      <xdr:nvGrpSpPr>
        <xdr:cNvPr id="7" name="Y2KPISat">
          <a:extLst>
            <a:ext uri="{FF2B5EF4-FFF2-40B4-BE49-F238E27FC236}">
              <a16:creationId xmlns:a16="http://schemas.microsoft.com/office/drawing/2014/main" id="{00000000-0008-0000-0100-000007000000}"/>
            </a:ext>
          </a:extLst>
        </xdr:cNvPr>
        <xdr:cNvGrpSpPr/>
      </xdr:nvGrpSpPr>
      <xdr:grpSpPr>
        <a:xfrm>
          <a:off x="5432410" y="2086708"/>
          <a:ext cx="722210" cy="666750"/>
          <a:chOff x="4051788" y="2176096"/>
          <a:chExt cx="722210" cy="710727"/>
        </a:xfrm>
      </xdr:grpSpPr>
      <mc:AlternateContent xmlns:mc="http://schemas.openxmlformats.org/markup-compatibility/2006" xmlns:a14="http://schemas.microsoft.com/office/drawing/2010/main">
        <mc:Choice Requires="a14">
          <xdr:pic>
            <xdr:nvPicPr>
              <xdr:cNvPr id="8" name="Picture 7">
                <a:extLst>
                  <a:ext uri="{FF2B5EF4-FFF2-40B4-BE49-F238E27FC236}">
                    <a16:creationId xmlns:a16="http://schemas.microsoft.com/office/drawing/2014/main" id="{00000000-0008-0000-0100-000008000000}"/>
                  </a:ext>
                </a:extLst>
              </xdr:cNvPr>
              <xdr:cNvPicPr>
                <a:picLocks noChangeAspect="1"/>
                <a:extLst>
                  <a:ext uri="{84589F7E-364E-4C9E-8A38-B11213B215E9}">
                    <a14:cameraTool cellRange="KPILight2" spid="_x0000_s1396"/>
                  </a:ext>
                </a:extLst>
              </xdr:cNvPicPr>
            </xdr:nvPicPr>
            <xdr:blipFill>
              <a:blip xmlns:r="http://schemas.openxmlformats.org/officeDocument/2006/relationships" r:embed="rId2"/>
              <a:stretch>
                <a:fillRect/>
              </a:stretch>
            </xdr:blipFill>
            <xdr:spPr>
              <a:xfrm>
                <a:off x="4051788" y="2176096"/>
                <a:ext cx="696516" cy="710727"/>
              </a:xfrm>
              <a:prstGeom prst="rect">
                <a:avLst/>
              </a:prstGeom>
            </xdr:spPr>
          </xdr:pic>
        </mc:Choice>
        <mc:Fallback xmlns=""/>
      </mc:AlternateContent>
      <xdr:sp macro="" textlink="$H$8">
        <xdr:nvSpPr>
          <xdr:cNvPr id="9" name="TextBox 8">
            <a:extLst>
              <a:ext uri="{FF2B5EF4-FFF2-40B4-BE49-F238E27FC236}">
                <a16:creationId xmlns:a16="http://schemas.microsoft.com/office/drawing/2014/main" id="{00000000-0008-0000-0100-000009000000}"/>
              </a:ext>
            </a:extLst>
          </xdr:cNvPr>
          <xdr:cNvSpPr txBox="1"/>
        </xdr:nvSpPr>
        <xdr:spPr>
          <a:xfrm>
            <a:off x="4088463" y="2629475"/>
            <a:ext cx="651424" cy="212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23627F7-E311-401F-8004-62E331E03E0B}" type="TxLink">
              <a:rPr lang="en-US" sz="650" b="0" i="0" u="none" strike="noStrike">
                <a:solidFill>
                  <a:sysClr val="windowText" lastClr="000000"/>
                </a:solidFill>
                <a:latin typeface="SWISS"/>
              </a:rPr>
              <a:pPr algn="ctr"/>
              <a:t>Attention</a:t>
            </a:fld>
            <a:endParaRPr lang="en-CA" sz="650">
              <a:solidFill>
                <a:sysClr val="windowText" lastClr="000000"/>
              </a:solidFill>
            </a:endParaRPr>
          </a:p>
        </xdr:txBody>
      </xdr:sp>
      <xdr:sp macro="" textlink="Data!D14">
        <xdr:nvSpPr>
          <xdr:cNvPr id="10" name="TextBox 9">
            <a:extLst>
              <a:ext uri="{FF2B5EF4-FFF2-40B4-BE49-F238E27FC236}">
                <a16:creationId xmlns:a16="http://schemas.microsoft.com/office/drawing/2014/main" id="{00000000-0008-0000-0100-00000A000000}"/>
              </a:ext>
            </a:extLst>
          </xdr:cNvPr>
          <xdr:cNvSpPr txBox="1"/>
        </xdr:nvSpPr>
        <xdr:spPr>
          <a:xfrm>
            <a:off x="4063951" y="2322635"/>
            <a:ext cx="710047" cy="373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4D95784-4B67-4127-B622-59B90425E6C6}" type="TxLink">
              <a:rPr lang="en-US" sz="3200" b="0" i="0" u="none" strike="noStrike">
                <a:solidFill>
                  <a:srgbClr val="000000"/>
                </a:solidFill>
                <a:latin typeface="Agency FB" panose="020B0503020202020204" pitchFamily="34" charset="0"/>
              </a:rPr>
              <a:pPr algn="ctr"/>
              <a:t>69</a:t>
            </a:fld>
            <a:endParaRPr lang="en-CA" sz="3200" b="0">
              <a:solidFill>
                <a:sysClr val="windowText" lastClr="000000"/>
              </a:solidFill>
              <a:latin typeface="Agency FB" panose="020B0503020202020204" pitchFamily="34" charset="0"/>
            </a:endParaRPr>
          </a:p>
        </xdr:txBody>
      </xdr:sp>
    </xdr:grpSp>
    <xdr:clientData/>
  </xdr:twoCellAnchor>
  <xdr:twoCellAnchor>
    <xdr:from>
      <xdr:col>8</xdr:col>
      <xdr:colOff>43136</xdr:colOff>
      <xdr:row>5</xdr:row>
      <xdr:rowOff>183460</xdr:rowOff>
    </xdr:from>
    <xdr:to>
      <xdr:col>10</xdr:col>
      <xdr:colOff>238125</xdr:colOff>
      <xdr:row>7</xdr:row>
      <xdr:rowOff>26090</xdr:rowOff>
    </xdr:to>
    <xdr:grpSp>
      <xdr:nvGrpSpPr>
        <xdr:cNvPr id="11" name="CurrentYearTitle">
          <a:extLst>
            <a:ext uri="{FF2B5EF4-FFF2-40B4-BE49-F238E27FC236}">
              <a16:creationId xmlns:a16="http://schemas.microsoft.com/office/drawing/2014/main" id="{00000000-0008-0000-0100-00000B000000}"/>
            </a:ext>
          </a:extLst>
        </xdr:cNvPr>
        <xdr:cNvGrpSpPr/>
      </xdr:nvGrpSpPr>
      <xdr:grpSpPr>
        <a:xfrm>
          <a:off x="6283916" y="1699840"/>
          <a:ext cx="819829" cy="383650"/>
          <a:chOff x="3958683" y="1697935"/>
          <a:chExt cx="923611" cy="460593"/>
        </a:xfrm>
      </xdr:grpSpPr>
      <xdr:sp macro="" textlink="">
        <xdr:nvSpPr>
          <xdr:cNvPr id="12" name="Rounded Rectangle 37">
            <a:extLst>
              <a:ext uri="{FF2B5EF4-FFF2-40B4-BE49-F238E27FC236}">
                <a16:creationId xmlns:a16="http://schemas.microsoft.com/office/drawing/2014/main" id="{00000000-0008-0000-0100-00000C000000}"/>
              </a:ext>
            </a:extLst>
          </xdr:cNvPr>
          <xdr:cNvSpPr/>
        </xdr:nvSpPr>
        <xdr:spPr>
          <a:xfrm>
            <a:off x="3958683" y="1697935"/>
            <a:ext cx="923611" cy="460593"/>
          </a:xfrm>
          <a:prstGeom prst="roundRect">
            <a:avLst/>
          </a:prstGeom>
          <a:gradFill>
            <a:gsLst>
              <a:gs pos="0">
                <a:srgbClr val="885202"/>
              </a:gs>
              <a:gs pos="76000">
                <a:srgbClr val="A44600"/>
              </a:gs>
              <a:gs pos="100000">
                <a:srgbClr val="633B01"/>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CA" sz="1100"/>
          </a:p>
        </xdr:txBody>
      </xdr:sp>
      <xdr:sp macro="" textlink="">
        <xdr:nvSpPr>
          <xdr:cNvPr id="13" name="Rounded Rectangle 38">
            <a:extLst>
              <a:ext uri="{FF2B5EF4-FFF2-40B4-BE49-F238E27FC236}">
                <a16:creationId xmlns:a16="http://schemas.microsoft.com/office/drawing/2014/main" id="{00000000-0008-0000-0100-00000D000000}"/>
              </a:ext>
            </a:extLst>
          </xdr:cNvPr>
          <xdr:cNvSpPr/>
        </xdr:nvSpPr>
        <xdr:spPr>
          <a:xfrm>
            <a:off x="4018840" y="1764632"/>
            <a:ext cx="799409" cy="329125"/>
          </a:xfrm>
          <a:prstGeom prst="roundRect">
            <a:avLst/>
          </a:prstGeom>
          <a:ln w="9525">
            <a:solidFill>
              <a:srgbClr val="633B0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CA" sz="2400" b="1">
                <a:latin typeface="Agency FB" panose="020B0503020202020204" pitchFamily="34" charset="0"/>
              </a:rPr>
              <a:t>2018</a:t>
            </a:r>
          </a:p>
        </xdr:txBody>
      </xdr:sp>
    </xdr:grpSp>
    <xdr:clientData/>
  </xdr:twoCellAnchor>
  <xdr:twoCellAnchor>
    <xdr:from>
      <xdr:col>6</xdr:col>
      <xdr:colOff>56055</xdr:colOff>
      <xdr:row>7</xdr:row>
      <xdr:rowOff>32424</xdr:rowOff>
    </xdr:from>
    <xdr:to>
      <xdr:col>6</xdr:col>
      <xdr:colOff>778265</xdr:colOff>
      <xdr:row>7</xdr:row>
      <xdr:rowOff>699174</xdr:rowOff>
    </xdr:to>
    <xdr:grpSp>
      <xdr:nvGrpSpPr>
        <xdr:cNvPr id="50" name="Y3KPISat">
          <a:extLst>
            <a:ext uri="{FF2B5EF4-FFF2-40B4-BE49-F238E27FC236}">
              <a16:creationId xmlns:a16="http://schemas.microsoft.com/office/drawing/2014/main" id="{00000000-0008-0000-0100-000032000000}"/>
            </a:ext>
          </a:extLst>
        </xdr:cNvPr>
        <xdr:cNvGrpSpPr/>
      </xdr:nvGrpSpPr>
      <xdr:grpSpPr>
        <a:xfrm>
          <a:off x="4559475" y="2089824"/>
          <a:ext cx="722210" cy="666750"/>
          <a:chOff x="4051788" y="2176096"/>
          <a:chExt cx="722210" cy="710727"/>
        </a:xfrm>
      </xdr:grpSpPr>
      <mc:AlternateContent xmlns:mc="http://schemas.openxmlformats.org/markup-compatibility/2006" xmlns:a14="http://schemas.microsoft.com/office/drawing/2010/main">
        <mc:Choice Requires="a14">
          <xdr:pic>
            <xdr:nvPicPr>
              <xdr:cNvPr id="51" name="Picture 50">
                <a:extLst>
                  <a:ext uri="{FF2B5EF4-FFF2-40B4-BE49-F238E27FC236}">
                    <a16:creationId xmlns:a16="http://schemas.microsoft.com/office/drawing/2014/main" id="{00000000-0008-0000-0100-000033000000}"/>
                  </a:ext>
                </a:extLst>
              </xdr:cNvPr>
              <xdr:cNvPicPr>
                <a:picLocks noChangeAspect="1"/>
                <a:extLst>
                  <a:ext uri="{84589F7E-364E-4C9E-8A38-B11213B215E9}">
                    <a14:cameraTool cellRange="KPILight3" spid="_x0000_s1397"/>
                  </a:ext>
                </a:extLst>
              </xdr:cNvPicPr>
            </xdr:nvPicPr>
            <xdr:blipFill>
              <a:blip xmlns:r="http://schemas.openxmlformats.org/officeDocument/2006/relationships" r:embed="rId3"/>
              <a:stretch>
                <a:fillRect/>
              </a:stretch>
            </xdr:blipFill>
            <xdr:spPr>
              <a:xfrm>
                <a:off x="4051788" y="2176096"/>
                <a:ext cx="696516" cy="710727"/>
              </a:xfrm>
              <a:prstGeom prst="rect">
                <a:avLst/>
              </a:prstGeom>
            </xdr:spPr>
          </xdr:pic>
        </mc:Choice>
        <mc:Fallback xmlns=""/>
      </mc:AlternateContent>
      <xdr:sp macro="" textlink="$G$8">
        <xdr:nvSpPr>
          <xdr:cNvPr id="52" name="TextBox 51">
            <a:extLst>
              <a:ext uri="{FF2B5EF4-FFF2-40B4-BE49-F238E27FC236}">
                <a16:creationId xmlns:a16="http://schemas.microsoft.com/office/drawing/2014/main" id="{00000000-0008-0000-0100-000034000000}"/>
              </a:ext>
            </a:extLst>
          </xdr:cNvPr>
          <xdr:cNvSpPr txBox="1"/>
        </xdr:nvSpPr>
        <xdr:spPr>
          <a:xfrm>
            <a:off x="4110793" y="2629475"/>
            <a:ext cx="607443" cy="212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8F8E4FD-A357-47C5-A04C-2FF2108B6D51}" type="TxLink">
              <a:rPr lang="en-US" sz="650" b="0" i="0" u="none" strike="noStrike">
                <a:solidFill>
                  <a:sysClr val="windowText" lastClr="000000"/>
                </a:solidFill>
                <a:latin typeface="SWISS"/>
              </a:rPr>
              <a:pPr algn="ctr"/>
              <a:t>Acceptable</a:t>
            </a:fld>
            <a:endParaRPr lang="en-CA" sz="650">
              <a:solidFill>
                <a:sysClr val="windowText" lastClr="000000"/>
              </a:solidFill>
            </a:endParaRPr>
          </a:p>
        </xdr:txBody>
      </xdr:sp>
      <xdr:sp macro="" textlink="Data!C14">
        <xdr:nvSpPr>
          <xdr:cNvPr id="53" name="TextBox 52">
            <a:extLst>
              <a:ext uri="{FF2B5EF4-FFF2-40B4-BE49-F238E27FC236}">
                <a16:creationId xmlns:a16="http://schemas.microsoft.com/office/drawing/2014/main" id="{00000000-0008-0000-0100-000035000000}"/>
              </a:ext>
            </a:extLst>
          </xdr:cNvPr>
          <xdr:cNvSpPr txBox="1"/>
        </xdr:nvSpPr>
        <xdr:spPr>
          <a:xfrm>
            <a:off x="4063951" y="2322635"/>
            <a:ext cx="710047" cy="373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DBD0EB-1DEA-48BB-9371-78B648079EBF}" type="TxLink">
              <a:rPr lang="en-US" sz="3200" b="0" i="0" u="none" strike="noStrike">
                <a:solidFill>
                  <a:srgbClr val="000000"/>
                </a:solidFill>
                <a:latin typeface="Agency FB" panose="020B0503020202020204" pitchFamily="34" charset="0"/>
              </a:rPr>
              <a:pPr algn="ctr"/>
              <a:t>77</a:t>
            </a:fld>
            <a:endParaRPr lang="en-CA" sz="3200" b="0">
              <a:solidFill>
                <a:sysClr val="windowText" lastClr="000000"/>
              </a:solidFill>
              <a:latin typeface="Agency FB" panose="020B0503020202020204" pitchFamily="34" charset="0"/>
            </a:endParaRPr>
          </a:p>
        </xdr:txBody>
      </xdr:sp>
    </xdr:grpSp>
    <xdr:clientData/>
  </xdr:twoCellAnchor>
  <xdr:twoCellAnchor>
    <xdr:from>
      <xdr:col>5</xdr:col>
      <xdr:colOff>64013</xdr:colOff>
      <xdr:row>7</xdr:row>
      <xdr:rowOff>30078</xdr:rowOff>
    </xdr:from>
    <xdr:to>
      <xdr:col>5</xdr:col>
      <xdr:colOff>786223</xdr:colOff>
      <xdr:row>7</xdr:row>
      <xdr:rowOff>696828</xdr:rowOff>
    </xdr:to>
    <xdr:grpSp>
      <xdr:nvGrpSpPr>
        <xdr:cNvPr id="72" name="Y4KPISat">
          <a:extLst>
            <a:ext uri="{FF2B5EF4-FFF2-40B4-BE49-F238E27FC236}">
              <a16:creationId xmlns:a16="http://schemas.microsoft.com/office/drawing/2014/main" id="{00000000-0008-0000-0100-000048000000}"/>
            </a:ext>
          </a:extLst>
        </xdr:cNvPr>
        <xdr:cNvGrpSpPr/>
      </xdr:nvGrpSpPr>
      <xdr:grpSpPr>
        <a:xfrm>
          <a:off x="3698753" y="2087478"/>
          <a:ext cx="722210" cy="666750"/>
          <a:chOff x="4051788" y="2171102"/>
          <a:chExt cx="722210" cy="710727"/>
        </a:xfrm>
      </xdr:grpSpPr>
      <mc:AlternateContent xmlns:mc="http://schemas.openxmlformats.org/markup-compatibility/2006" xmlns:a14="http://schemas.microsoft.com/office/drawing/2010/main">
        <mc:Choice Requires="a14">
          <xdr:pic>
            <xdr:nvPicPr>
              <xdr:cNvPr id="73" name="Picture 72">
                <a:extLst>
                  <a:ext uri="{FF2B5EF4-FFF2-40B4-BE49-F238E27FC236}">
                    <a16:creationId xmlns:a16="http://schemas.microsoft.com/office/drawing/2014/main" id="{00000000-0008-0000-0100-000049000000}"/>
                  </a:ext>
                </a:extLst>
              </xdr:cNvPr>
              <xdr:cNvPicPr>
                <a:picLocks noChangeAspect="1"/>
                <a:extLst>
                  <a:ext uri="{84589F7E-364E-4C9E-8A38-B11213B215E9}">
                    <a14:cameraTool cellRange="KPILight4" spid="_x0000_s1398"/>
                  </a:ext>
                </a:extLst>
              </xdr:cNvPicPr>
            </xdr:nvPicPr>
            <xdr:blipFill>
              <a:blip xmlns:r="http://schemas.openxmlformats.org/officeDocument/2006/relationships" r:embed="rId3"/>
              <a:stretch>
                <a:fillRect/>
              </a:stretch>
            </xdr:blipFill>
            <xdr:spPr>
              <a:xfrm>
                <a:off x="4051788" y="2171102"/>
                <a:ext cx="696516" cy="710727"/>
              </a:xfrm>
              <a:prstGeom prst="rect">
                <a:avLst/>
              </a:prstGeom>
            </xdr:spPr>
          </xdr:pic>
        </mc:Choice>
        <mc:Fallback xmlns=""/>
      </mc:AlternateContent>
      <xdr:sp macro="" textlink="$F$8">
        <xdr:nvSpPr>
          <xdr:cNvPr id="74" name="TextBox 73">
            <a:extLst>
              <a:ext uri="{FF2B5EF4-FFF2-40B4-BE49-F238E27FC236}">
                <a16:creationId xmlns:a16="http://schemas.microsoft.com/office/drawing/2014/main" id="{00000000-0008-0000-0100-00004A000000}"/>
              </a:ext>
            </a:extLst>
          </xdr:cNvPr>
          <xdr:cNvSpPr txBox="1"/>
        </xdr:nvSpPr>
        <xdr:spPr>
          <a:xfrm>
            <a:off x="4110793" y="2625160"/>
            <a:ext cx="607443" cy="212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BA6E56F-7081-49F5-AE79-C059A2B66FFE}" type="TxLink">
              <a:rPr lang="en-US" sz="650" b="0" i="0" u="none" strike="noStrike">
                <a:solidFill>
                  <a:sysClr val="windowText" lastClr="000000"/>
                </a:solidFill>
                <a:latin typeface="SWISS"/>
              </a:rPr>
              <a:pPr algn="ctr"/>
              <a:t>Acceptable</a:t>
            </a:fld>
            <a:endParaRPr lang="en-CA" sz="650">
              <a:solidFill>
                <a:sysClr val="windowText" lastClr="000000"/>
              </a:solidFill>
            </a:endParaRPr>
          </a:p>
        </xdr:txBody>
      </xdr:sp>
      <xdr:sp macro="" textlink="Data!B14">
        <xdr:nvSpPr>
          <xdr:cNvPr id="75" name="TextBox 74">
            <a:extLst>
              <a:ext uri="{FF2B5EF4-FFF2-40B4-BE49-F238E27FC236}">
                <a16:creationId xmlns:a16="http://schemas.microsoft.com/office/drawing/2014/main" id="{00000000-0008-0000-0100-00004B000000}"/>
              </a:ext>
            </a:extLst>
          </xdr:cNvPr>
          <xdr:cNvSpPr txBox="1"/>
        </xdr:nvSpPr>
        <xdr:spPr>
          <a:xfrm>
            <a:off x="4063951" y="2322635"/>
            <a:ext cx="710047" cy="373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6FF6CE8-6791-4DE9-B2CD-2FF1B92ADD0E}" type="TxLink">
              <a:rPr lang="en-US" sz="3200" b="0" i="0" u="none" strike="noStrike">
                <a:solidFill>
                  <a:srgbClr val="000000"/>
                </a:solidFill>
                <a:latin typeface="Agency FB" panose="020B0503020202020204" pitchFamily="34" charset="0"/>
              </a:rPr>
              <a:pPr algn="ctr"/>
              <a:t>89</a:t>
            </a:fld>
            <a:endParaRPr lang="en-CA" sz="3200" b="0">
              <a:solidFill>
                <a:sysClr val="windowText" lastClr="000000"/>
              </a:solidFill>
              <a:latin typeface="Agency FB" panose="020B0503020202020204" pitchFamily="34" charset="0"/>
            </a:endParaRPr>
          </a:p>
        </xdr:txBody>
      </xdr:sp>
    </xdr:grpSp>
    <xdr:clientData/>
  </xdr:twoCellAnchor>
  <xdr:twoCellAnchor>
    <xdr:from>
      <xdr:col>4</xdr:col>
      <xdr:colOff>65553</xdr:colOff>
      <xdr:row>7</xdr:row>
      <xdr:rowOff>30078</xdr:rowOff>
    </xdr:from>
    <xdr:to>
      <xdr:col>4</xdr:col>
      <xdr:colOff>787763</xdr:colOff>
      <xdr:row>7</xdr:row>
      <xdr:rowOff>696828</xdr:rowOff>
    </xdr:to>
    <xdr:grpSp>
      <xdr:nvGrpSpPr>
        <xdr:cNvPr id="94" name="Y5KPISat">
          <a:extLst>
            <a:ext uri="{FF2B5EF4-FFF2-40B4-BE49-F238E27FC236}">
              <a16:creationId xmlns:a16="http://schemas.microsoft.com/office/drawing/2014/main" id="{00000000-0008-0000-0100-00005E000000}"/>
            </a:ext>
          </a:extLst>
        </xdr:cNvPr>
        <xdr:cNvGrpSpPr/>
      </xdr:nvGrpSpPr>
      <xdr:grpSpPr>
        <a:xfrm>
          <a:off x="2831613" y="2087478"/>
          <a:ext cx="722210" cy="666750"/>
          <a:chOff x="4051788" y="2171102"/>
          <a:chExt cx="722210" cy="710727"/>
        </a:xfrm>
      </xdr:grpSpPr>
      <mc:AlternateContent xmlns:mc="http://schemas.openxmlformats.org/markup-compatibility/2006" xmlns:a14="http://schemas.microsoft.com/office/drawing/2010/main">
        <mc:Choice Requires="a14">
          <xdr:pic>
            <xdr:nvPicPr>
              <xdr:cNvPr id="95" name="Picture 94">
                <a:extLst>
                  <a:ext uri="{FF2B5EF4-FFF2-40B4-BE49-F238E27FC236}">
                    <a16:creationId xmlns:a16="http://schemas.microsoft.com/office/drawing/2014/main" id="{00000000-0008-0000-0100-00005F000000}"/>
                  </a:ext>
                </a:extLst>
              </xdr:cNvPr>
              <xdr:cNvPicPr>
                <a:picLocks noChangeAspect="1"/>
                <a:extLst>
                  <a:ext uri="{84589F7E-364E-4C9E-8A38-B11213B215E9}">
                    <a14:cameraTool cellRange="KPILight5" spid="_x0000_s1399"/>
                  </a:ext>
                </a:extLst>
              </xdr:cNvPicPr>
            </xdr:nvPicPr>
            <xdr:blipFill>
              <a:blip xmlns:r="http://schemas.openxmlformats.org/officeDocument/2006/relationships" r:embed="rId3"/>
              <a:stretch>
                <a:fillRect/>
              </a:stretch>
            </xdr:blipFill>
            <xdr:spPr>
              <a:xfrm>
                <a:off x="4051788" y="2171102"/>
                <a:ext cx="696516" cy="710727"/>
              </a:xfrm>
              <a:prstGeom prst="rect">
                <a:avLst/>
              </a:prstGeom>
            </xdr:spPr>
          </xdr:pic>
        </mc:Choice>
        <mc:Fallback xmlns=""/>
      </mc:AlternateContent>
      <xdr:sp macro="" textlink="$E$8">
        <xdr:nvSpPr>
          <xdr:cNvPr id="96" name="TextBox 95">
            <a:extLst>
              <a:ext uri="{FF2B5EF4-FFF2-40B4-BE49-F238E27FC236}">
                <a16:creationId xmlns:a16="http://schemas.microsoft.com/office/drawing/2014/main" id="{00000000-0008-0000-0100-000060000000}"/>
              </a:ext>
            </a:extLst>
          </xdr:cNvPr>
          <xdr:cNvSpPr txBox="1"/>
        </xdr:nvSpPr>
        <xdr:spPr>
          <a:xfrm>
            <a:off x="4081486" y="2609869"/>
            <a:ext cx="646276" cy="2466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56858E0-D4C2-4DE2-B182-A856AF731EEC}" type="TxLink">
              <a:rPr lang="en-US" sz="650" b="0" i="0" u="none" strike="noStrike">
                <a:solidFill>
                  <a:sysClr val="windowText" lastClr="000000"/>
                </a:solidFill>
                <a:latin typeface="SWISS"/>
              </a:rPr>
              <a:pPr algn="ctr"/>
              <a:t>Acceptable</a:t>
            </a:fld>
            <a:endParaRPr lang="en-CA" sz="650">
              <a:solidFill>
                <a:sysClr val="windowText" lastClr="000000"/>
              </a:solidFill>
            </a:endParaRPr>
          </a:p>
        </xdr:txBody>
      </xdr:sp>
      <xdr:sp macro="" textlink="Data!A14">
        <xdr:nvSpPr>
          <xdr:cNvPr id="97" name="TextBox 96">
            <a:extLst>
              <a:ext uri="{FF2B5EF4-FFF2-40B4-BE49-F238E27FC236}">
                <a16:creationId xmlns:a16="http://schemas.microsoft.com/office/drawing/2014/main" id="{00000000-0008-0000-0100-000061000000}"/>
              </a:ext>
            </a:extLst>
          </xdr:cNvPr>
          <xdr:cNvSpPr txBox="1"/>
        </xdr:nvSpPr>
        <xdr:spPr>
          <a:xfrm>
            <a:off x="4063951" y="2322635"/>
            <a:ext cx="710047" cy="373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FE7035-F9ED-480D-B317-A7E165B1FDEC}" type="TxLink">
              <a:rPr lang="en-US" sz="3200" b="0" i="0" u="none" strike="noStrike">
                <a:solidFill>
                  <a:srgbClr val="000000"/>
                </a:solidFill>
                <a:latin typeface="Agency FB" panose="020B0503020202020204" pitchFamily="34" charset="0"/>
                <a:cs typeface="CordiaUPC" panose="020B0502040204020203" pitchFamily="34" charset="-34"/>
              </a:rPr>
              <a:pPr algn="ctr"/>
              <a:t>88</a:t>
            </a:fld>
            <a:endParaRPr lang="en-CA" sz="6600" b="0">
              <a:solidFill>
                <a:sysClr val="windowText" lastClr="000000"/>
              </a:solidFill>
              <a:latin typeface="Agency FB" panose="020B0503020202020204" pitchFamily="34" charset="0"/>
              <a:cs typeface="CordiaUPC" panose="020B0502040204020203" pitchFamily="34" charset="-34"/>
            </a:endParaRPr>
          </a:p>
        </xdr:txBody>
      </xdr:sp>
    </xdr:grpSp>
    <xdr:clientData/>
  </xdr:twoCellAnchor>
  <xdr:twoCellAnchor>
    <xdr:from>
      <xdr:col>0</xdr:col>
      <xdr:colOff>153383</xdr:colOff>
      <xdr:row>7</xdr:row>
      <xdr:rowOff>323851</xdr:rowOff>
    </xdr:from>
    <xdr:to>
      <xdr:col>3</xdr:col>
      <xdr:colOff>131015</xdr:colOff>
      <xdr:row>8</xdr:row>
      <xdr:rowOff>142875</xdr:rowOff>
    </xdr:to>
    <xdr:grpSp>
      <xdr:nvGrpSpPr>
        <xdr:cNvPr id="116" name="KPILegend">
          <a:extLst>
            <a:ext uri="{FF2B5EF4-FFF2-40B4-BE49-F238E27FC236}">
              <a16:creationId xmlns:a16="http://schemas.microsoft.com/office/drawing/2014/main" id="{00000000-0008-0000-0100-000074000000}"/>
            </a:ext>
          </a:extLst>
        </xdr:cNvPr>
        <xdr:cNvGrpSpPr/>
      </xdr:nvGrpSpPr>
      <xdr:grpSpPr>
        <a:xfrm>
          <a:off x="153383" y="2381251"/>
          <a:ext cx="2614152" cy="527684"/>
          <a:chOff x="153326" y="2485963"/>
          <a:chExt cx="2623886" cy="505207"/>
        </a:xfrm>
      </xdr:grpSpPr>
      <xdr:sp macro="" textlink="">
        <xdr:nvSpPr>
          <xdr:cNvPr id="117" name="TextBox 116">
            <a:extLst>
              <a:ext uri="{FF2B5EF4-FFF2-40B4-BE49-F238E27FC236}">
                <a16:creationId xmlns:a16="http://schemas.microsoft.com/office/drawing/2014/main" id="{00000000-0008-0000-0100-000075000000}"/>
              </a:ext>
            </a:extLst>
          </xdr:cNvPr>
          <xdr:cNvSpPr txBox="1"/>
        </xdr:nvSpPr>
        <xdr:spPr>
          <a:xfrm>
            <a:off x="153326" y="2486674"/>
            <a:ext cx="694935" cy="3902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0">
                <a:latin typeface="Arial Narrow" panose="020B0606020202030204" pitchFamily="34" charset="0"/>
              </a:rPr>
              <a:t>Superior</a:t>
            </a:r>
          </a:p>
          <a:p>
            <a:pPr algn="ctr"/>
            <a:r>
              <a:rPr lang="en-US" sz="800" b="0" i="1">
                <a:latin typeface="Arial Narrow" panose="020B0606020202030204" pitchFamily="34" charset="0"/>
              </a:rPr>
              <a:t>90%+</a:t>
            </a:r>
          </a:p>
        </xdr:txBody>
      </xdr:sp>
      <xdr:sp macro="" textlink="">
        <xdr:nvSpPr>
          <xdr:cNvPr id="118" name="TextBox 117">
            <a:extLst>
              <a:ext uri="{FF2B5EF4-FFF2-40B4-BE49-F238E27FC236}">
                <a16:creationId xmlns:a16="http://schemas.microsoft.com/office/drawing/2014/main" id="{00000000-0008-0000-0100-000076000000}"/>
              </a:ext>
            </a:extLst>
          </xdr:cNvPr>
          <xdr:cNvSpPr txBox="1"/>
        </xdr:nvSpPr>
        <xdr:spPr>
          <a:xfrm>
            <a:off x="943134" y="2485963"/>
            <a:ext cx="735724" cy="367862"/>
          </a:xfrm>
          <a:prstGeom prst="rect">
            <a:avLst/>
          </a:prstGeom>
          <a:noFill/>
          <a:ln w="9525" cmpd="sng">
            <a:noFill/>
          </a:ln>
          <a:scene3d>
            <a:camera prst="orthographicFront"/>
            <a:lightRig rig="soft" dir="t"/>
          </a:scene3d>
          <a:sp3d prstMaterial="matte"/>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0">
                <a:latin typeface="Arial Narrow" panose="020B0606020202030204" pitchFamily="34" charset="0"/>
              </a:rPr>
              <a:t>Acceptable</a:t>
            </a:r>
          </a:p>
          <a:p>
            <a:pPr algn="ctr"/>
            <a:r>
              <a:rPr lang="en-US" sz="800" b="0" i="1">
                <a:latin typeface="Arial Narrow" panose="020B0606020202030204" pitchFamily="34" charset="0"/>
              </a:rPr>
              <a:t>75% -- 89%</a:t>
            </a:r>
          </a:p>
        </xdr:txBody>
      </xdr:sp>
      <xdr:sp macro="" textlink="">
        <xdr:nvSpPr>
          <xdr:cNvPr id="119" name="TextBox 118">
            <a:extLst>
              <a:ext uri="{FF2B5EF4-FFF2-40B4-BE49-F238E27FC236}">
                <a16:creationId xmlns:a16="http://schemas.microsoft.com/office/drawing/2014/main" id="{00000000-0008-0000-0100-000077000000}"/>
              </a:ext>
            </a:extLst>
          </xdr:cNvPr>
          <xdr:cNvSpPr txBox="1"/>
        </xdr:nvSpPr>
        <xdr:spPr>
          <a:xfrm>
            <a:off x="1766978" y="2487604"/>
            <a:ext cx="1010234" cy="503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0">
                <a:latin typeface="Arial Narrow" panose="020B0606020202030204" pitchFamily="34" charset="0"/>
              </a:rPr>
              <a:t>Requires Attention</a:t>
            </a:r>
          </a:p>
          <a:p>
            <a:pPr algn="ctr"/>
            <a:r>
              <a:rPr lang="en-US" sz="800" b="0" i="1">
                <a:latin typeface="Arial Narrow" panose="020B0606020202030204" pitchFamily="34" charset="0"/>
              </a:rPr>
              <a:t>Below </a:t>
            </a:r>
            <a:r>
              <a:rPr lang="en-US" sz="800" b="0" i="1" baseline="0">
                <a:latin typeface="Arial Narrow" panose="020B0606020202030204" pitchFamily="34" charset="0"/>
              </a:rPr>
              <a:t>75</a:t>
            </a:r>
            <a:r>
              <a:rPr lang="en-US" sz="800" b="0" i="1">
                <a:latin typeface="Arial Narrow" panose="020B0606020202030204" pitchFamily="34" charset="0"/>
              </a:rPr>
              <a:t>%</a:t>
            </a:r>
          </a:p>
        </xdr:txBody>
      </xdr:sp>
      <xdr:cxnSp macro="">
        <xdr:nvCxnSpPr>
          <xdr:cNvPr id="120" name="Straight Connector 119">
            <a:extLst>
              <a:ext uri="{FF2B5EF4-FFF2-40B4-BE49-F238E27FC236}">
                <a16:creationId xmlns:a16="http://schemas.microsoft.com/office/drawing/2014/main" id="{00000000-0008-0000-0100-000078000000}"/>
              </a:ext>
            </a:extLst>
          </xdr:cNvPr>
          <xdr:cNvCxnSpPr/>
        </xdr:nvCxnSpPr>
        <xdr:spPr>
          <a:xfrm>
            <a:off x="908734" y="2546195"/>
            <a:ext cx="0" cy="228600"/>
          </a:xfrm>
          <a:prstGeom prst="line">
            <a:avLst/>
          </a:prstGeom>
          <a:ln w="9525">
            <a:gradFill>
              <a:gsLst>
                <a:gs pos="0">
                  <a:schemeClr val="bg1">
                    <a:lumMod val="75000"/>
                  </a:schemeClr>
                </a:gs>
                <a:gs pos="54000">
                  <a:schemeClr val="tx1">
                    <a:lumMod val="50000"/>
                    <a:lumOff val="50000"/>
                  </a:schemeClr>
                </a:gs>
                <a:gs pos="100000">
                  <a:schemeClr val="bg1">
                    <a:lumMod val="75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121" name="Straight Connector 120">
            <a:extLst>
              <a:ext uri="{FF2B5EF4-FFF2-40B4-BE49-F238E27FC236}">
                <a16:creationId xmlns:a16="http://schemas.microsoft.com/office/drawing/2014/main" id="{00000000-0008-0000-0100-000079000000}"/>
              </a:ext>
            </a:extLst>
          </xdr:cNvPr>
          <xdr:cNvCxnSpPr/>
        </xdr:nvCxnSpPr>
        <xdr:spPr>
          <a:xfrm>
            <a:off x="1718808" y="2541220"/>
            <a:ext cx="0" cy="228600"/>
          </a:xfrm>
          <a:prstGeom prst="line">
            <a:avLst/>
          </a:prstGeom>
          <a:ln w="9525">
            <a:gradFill>
              <a:gsLst>
                <a:gs pos="0">
                  <a:schemeClr val="bg1">
                    <a:lumMod val="75000"/>
                  </a:schemeClr>
                </a:gs>
                <a:gs pos="54000">
                  <a:schemeClr val="tx1">
                    <a:lumMod val="50000"/>
                    <a:lumOff val="50000"/>
                  </a:schemeClr>
                </a:gs>
                <a:gs pos="100000">
                  <a:schemeClr val="bg1">
                    <a:lumMod val="75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xdr:col>
      <xdr:colOff>41671</xdr:colOff>
      <xdr:row>2</xdr:row>
      <xdr:rowOff>35719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90500"/>
          <a:ext cx="736996" cy="702469"/>
        </a:xfrm>
        <a:prstGeom prst="rect">
          <a:avLst/>
        </a:prstGeom>
      </xdr:spPr>
    </xdr:pic>
    <xdr:clientData/>
  </xdr:twoCellAnchor>
  <xdr:twoCellAnchor editAs="oneCell">
    <xdr:from>
      <xdr:col>0</xdr:col>
      <xdr:colOff>0</xdr:colOff>
      <xdr:row>2</xdr:row>
      <xdr:rowOff>172641</xdr:rowOff>
    </xdr:from>
    <xdr:to>
      <xdr:col>1</xdr:col>
      <xdr:colOff>35718</xdr:colOff>
      <xdr:row>4</xdr:row>
      <xdr:rowOff>24743</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029891"/>
          <a:ext cx="731043" cy="709352"/>
        </a:xfrm>
        <a:prstGeom prst="rect">
          <a:avLst/>
        </a:prstGeom>
      </xdr:spPr>
    </xdr:pic>
    <xdr:clientData/>
  </xdr:twoCellAnchor>
  <xdr:twoCellAnchor editAs="oneCell">
    <xdr:from>
      <xdr:col>0</xdr:col>
      <xdr:colOff>5953</xdr:colOff>
      <xdr:row>4</xdr:row>
      <xdr:rowOff>184547</xdr:rowOff>
    </xdr:from>
    <xdr:to>
      <xdr:col>1</xdr:col>
      <xdr:colOff>17664</xdr:colOff>
      <xdr:row>6</xdr:row>
      <xdr:rowOff>29766</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53" y="1899047"/>
          <a:ext cx="707036" cy="702469"/>
        </a:xfrm>
        <a:prstGeom prst="rect">
          <a:avLst/>
        </a:prstGeom>
      </xdr:spPr>
    </xdr:pic>
    <xdr:clientData/>
  </xdr:twoCellAnchor>
  <xdr:twoCellAnchor editAs="oneCell">
    <xdr:from>
      <xdr:col>0</xdr:col>
      <xdr:colOff>5953</xdr:colOff>
      <xdr:row>6</xdr:row>
      <xdr:rowOff>184546</xdr:rowOff>
    </xdr:from>
    <xdr:to>
      <xdr:col>1</xdr:col>
      <xdr:colOff>23811</xdr:colOff>
      <xdr:row>8</xdr:row>
      <xdr:rowOff>31253</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953" y="2756296"/>
          <a:ext cx="713183" cy="694432"/>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mailto:fhay@conestogac.on.ca" TargetMode="Externa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A93BB-01D0-4825-96A9-17EA2BA02FD5}">
  <sheetPr codeName="Sheet1"/>
  <dimension ref="A1:L35"/>
  <sheetViews>
    <sheetView tabSelected="1" workbookViewId="0"/>
  </sheetViews>
  <sheetFormatPr defaultRowHeight="15"/>
  <sheetData>
    <row r="1" spans="1:12" ht="15.6">
      <c r="A1" s="24" t="s">
        <v>56</v>
      </c>
      <c r="H1" s="26" t="s">
        <v>55</v>
      </c>
    </row>
    <row r="2" spans="1:12" ht="15.6">
      <c r="A2" s="24" t="s">
        <v>57</v>
      </c>
    </row>
    <row r="3" spans="1:12" s="19" customFormat="1">
      <c r="A3" s="19" t="s">
        <v>63</v>
      </c>
      <c r="E3" s="63" t="s">
        <v>62</v>
      </c>
    </row>
    <row r="4" spans="1:12" s="67" customFormat="1" ht="15.6">
      <c r="A4" s="66" t="s">
        <v>46</v>
      </c>
    </row>
    <row r="5" spans="1:12" s="18" customFormat="1" ht="15.6">
      <c r="A5" s="18" t="s">
        <v>13</v>
      </c>
      <c r="B5" s="18" t="s">
        <v>14</v>
      </c>
      <c r="C5" s="18" t="s">
        <v>15</v>
      </c>
      <c r="D5" s="18" t="s">
        <v>16</v>
      </c>
      <c r="E5" s="18" t="s">
        <v>3</v>
      </c>
      <c r="F5" s="18" t="s">
        <v>2</v>
      </c>
      <c r="G5" s="18" t="s">
        <v>1</v>
      </c>
      <c r="H5" s="18" t="s">
        <v>17</v>
      </c>
      <c r="I5" s="18" t="s">
        <v>18</v>
      </c>
      <c r="J5" s="18" t="s">
        <v>19</v>
      </c>
      <c r="K5" s="18" t="s">
        <v>20</v>
      </c>
      <c r="L5" s="18" t="s">
        <v>21</v>
      </c>
    </row>
    <row r="6" spans="1:12">
      <c r="A6" s="27" t="s">
        <v>29</v>
      </c>
      <c r="B6" t="s">
        <v>22</v>
      </c>
      <c r="C6">
        <v>56546</v>
      </c>
      <c r="D6" s="17" t="s">
        <v>30</v>
      </c>
      <c r="E6" t="s">
        <v>34</v>
      </c>
      <c r="F6" t="s">
        <v>37</v>
      </c>
      <c r="G6" t="s">
        <v>42</v>
      </c>
      <c r="H6" s="22">
        <v>0.75</v>
      </c>
      <c r="I6" s="22">
        <v>0.72</v>
      </c>
      <c r="J6" s="22">
        <v>0.82</v>
      </c>
      <c r="K6" s="22">
        <v>0.91</v>
      </c>
      <c r="L6" s="22">
        <v>0.76</v>
      </c>
    </row>
    <row r="7" spans="1:12">
      <c r="A7" s="27" t="s">
        <v>26</v>
      </c>
      <c r="B7" t="s">
        <v>23</v>
      </c>
      <c r="C7">
        <v>74474</v>
      </c>
      <c r="D7" s="17" t="s">
        <v>31</v>
      </c>
      <c r="E7" t="s">
        <v>35</v>
      </c>
      <c r="F7" t="s">
        <v>37</v>
      </c>
      <c r="G7" t="s">
        <v>43</v>
      </c>
      <c r="H7" s="22">
        <v>0.9</v>
      </c>
      <c r="I7" s="22">
        <v>0.79</v>
      </c>
      <c r="J7" s="22">
        <v>0.83</v>
      </c>
      <c r="K7" s="22">
        <v>0.89</v>
      </c>
      <c r="L7" s="22">
        <v>0.91</v>
      </c>
    </row>
    <row r="8" spans="1:12">
      <c r="A8" s="27" t="s">
        <v>27</v>
      </c>
      <c r="B8" t="s">
        <v>24</v>
      </c>
      <c r="C8">
        <v>65643</v>
      </c>
      <c r="D8" s="17" t="s">
        <v>32</v>
      </c>
      <c r="E8" t="s">
        <v>36</v>
      </c>
      <c r="F8" t="s">
        <v>38</v>
      </c>
      <c r="G8" t="s">
        <v>40</v>
      </c>
      <c r="H8" s="29" t="s">
        <v>59</v>
      </c>
      <c r="I8" s="22">
        <v>0.67</v>
      </c>
      <c r="J8" s="22">
        <v>0.77</v>
      </c>
      <c r="K8" s="22">
        <v>0.93</v>
      </c>
      <c r="L8" s="22">
        <v>0.87</v>
      </c>
    </row>
    <row r="9" spans="1:12">
      <c r="A9" s="27" t="s">
        <v>28</v>
      </c>
      <c r="B9" t="s">
        <v>25</v>
      </c>
      <c r="C9">
        <v>61123</v>
      </c>
      <c r="D9" s="17" t="s">
        <v>33</v>
      </c>
      <c r="E9" t="s">
        <v>36</v>
      </c>
      <c r="F9" t="s">
        <v>39</v>
      </c>
      <c r="G9" t="s">
        <v>41</v>
      </c>
      <c r="H9" s="22">
        <v>0.88</v>
      </c>
      <c r="I9" s="22">
        <v>0.89</v>
      </c>
      <c r="J9" s="22">
        <v>0.77</v>
      </c>
      <c r="K9" s="22">
        <v>0.69</v>
      </c>
      <c r="L9" s="22">
        <v>0.91</v>
      </c>
    </row>
    <row r="13" spans="1:12" s="65" customFormat="1" ht="15.6">
      <c r="A13" s="64" t="s">
        <v>44</v>
      </c>
    </row>
    <row r="14" spans="1:12" ht="15.6">
      <c r="A14" s="20">
        <f>IFERROR(INDEX(Data!H6:H9,MATCH(TEXT(Report!$F$2,"0000"),Data!$A6:$A9,0))*100,"-")</f>
        <v>88</v>
      </c>
      <c r="B14" s="20">
        <f>INDEX(Data!I6:I9,MATCH(TEXT(Report!$F$2,"0000"),Data!$A6:$A9,0))*100</f>
        <v>89</v>
      </c>
      <c r="C14" s="20">
        <f>INDEX(Data!J6:J9,MATCH(TEXT(Report!$F$2,"0000"),Data!$A6:$A9,0))*100</f>
        <v>77</v>
      </c>
      <c r="D14" s="20">
        <f>INDEX(Data!K6:K9,MATCH(TEXT(Report!$F$2,"0000"),Data!$A6:$A9,0))*100</f>
        <v>69</v>
      </c>
      <c r="E14" s="20">
        <f>INDEX(Data!L6:L9,MATCH(TEXT(Report!$F$2,"0000"),Data!$A6:$A9,0))*100</f>
        <v>91</v>
      </c>
      <c r="F14" s="28" t="s">
        <v>58</v>
      </c>
    </row>
    <row r="15" spans="1:12">
      <c r="A15" s="21" t="str">
        <f>IF(A14="-","None",IF(A14&lt;74.99,"Attention",IF(A14&gt;89.9999,"Superior","Acceptable")))</f>
        <v>Acceptable</v>
      </c>
      <c r="B15" s="21" t="str">
        <f t="shared" ref="B15:E15" si="0">IF(B14="-","None",IF(B14&lt;74.99,"Attention",IF(B14&gt;89.9999,"Superior","Acceptable")))</f>
        <v>Acceptable</v>
      </c>
      <c r="C15" s="21" t="str">
        <f t="shared" si="0"/>
        <v>Acceptable</v>
      </c>
      <c r="D15" s="21" t="str">
        <f t="shared" si="0"/>
        <v>Attention</v>
      </c>
      <c r="E15" s="21" t="str">
        <f t="shared" si="0"/>
        <v>Superior</v>
      </c>
    </row>
    <row r="18" spans="2:7" ht="15.6">
      <c r="B18" s="23" t="s">
        <v>47</v>
      </c>
      <c r="G18" s="16" t="str">
        <f>Report!A10</f>
        <v>1129 - ANIMATION - 2018 PROGRAM REPORT</v>
      </c>
    </row>
    <row r="24" spans="2:7" ht="15" customHeight="1">
      <c r="B24" s="31" t="s">
        <v>53</v>
      </c>
      <c r="C24" s="31"/>
      <c r="E24" s="31" t="s">
        <v>54</v>
      </c>
      <c r="F24" s="31"/>
    </row>
    <row r="25" spans="2:7">
      <c r="B25" s="31"/>
      <c r="C25" s="31"/>
      <c r="E25" s="31"/>
      <c r="F25" s="31"/>
    </row>
    <row r="26" spans="2:7">
      <c r="B26" s="31"/>
      <c r="C26" s="31"/>
      <c r="E26" s="31"/>
      <c r="F26" s="31"/>
    </row>
    <row r="27" spans="2:7">
      <c r="B27" s="31"/>
      <c r="C27" s="31"/>
      <c r="E27" s="31"/>
      <c r="F27" s="31"/>
    </row>
    <row r="28" spans="2:7">
      <c r="B28" s="31"/>
      <c r="C28" s="31"/>
      <c r="E28" s="31"/>
      <c r="F28" s="31"/>
    </row>
    <row r="29" spans="2:7">
      <c r="B29" s="31"/>
      <c r="C29" s="31"/>
      <c r="E29" s="31"/>
      <c r="F29" s="31"/>
    </row>
    <row r="30" spans="2:7">
      <c r="B30" s="31"/>
      <c r="C30" s="31"/>
      <c r="E30" s="31"/>
      <c r="F30" s="31"/>
    </row>
    <row r="31" spans="2:7">
      <c r="B31" s="31"/>
      <c r="C31" s="31"/>
      <c r="E31" s="31"/>
      <c r="F31" s="31"/>
    </row>
    <row r="34" spans="2:2" ht="15.6">
      <c r="B34" s="24" t="s">
        <v>60</v>
      </c>
    </row>
    <row r="35" spans="2:2">
      <c r="B35" s="30" t="s">
        <v>61</v>
      </c>
    </row>
  </sheetData>
  <mergeCells count="2">
    <mergeCell ref="B24:C31"/>
    <mergeCell ref="E24:F31"/>
  </mergeCells>
  <hyperlinks>
    <hyperlink ref="H1" r:id="rId1" xr:uid="{CE94AD13-89C5-4D4A-B043-EBADF431FCD9}"/>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PDF_Loop.PDF_Loop">
                <anchor moveWithCells="1" sizeWithCells="1">
                  <from>
                    <xdr:col>1</xdr:col>
                    <xdr:colOff>0</xdr:colOff>
                    <xdr:row>19</xdr:row>
                    <xdr:rowOff>7620</xdr:rowOff>
                  </from>
                  <to>
                    <xdr:col>3</xdr:col>
                    <xdr:colOff>335280</xdr:colOff>
                    <xdr:row>21</xdr:row>
                    <xdr:rowOff>182880</xdr:rowOff>
                  </to>
                </anchor>
              </controlPr>
            </control>
          </mc:Choice>
        </mc:AlternateContent>
        <mc:AlternateContent xmlns:mc="http://schemas.openxmlformats.org/markup-compatibility/2006">
          <mc:Choice Requires="x14">
            <control shapeId="3074" r:id="rId5" name="Button 2">
              <controlPr defaultSize="0" print="0" autoFill="0" autoPict="0" macro="[0]!Sheet_Loop.Sheet_Loop">
                <anchor moveWithCells="1" sizeWithCells="1">
                  <from>
                    <xdr:col>3</xdr:col>
                    <xdr:colOff>419100</xdr:colOff>
                    <xdr:row>19</xdr:row>
                    <xdr:rowOff>7620</xdr:rowOff>
                  </from>
                  <to>
                    <xdr:col>5</xdr:col>
                    <xdr:colOff>754380</xdr:colOff>
                    <xdr:row>22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267C2-FC62-420C-97EA-561CB995DEBE}">
  <sheetPr codeName="Sheet2"/>
  <dimension ref="A1:K10"/>
  <sheetViews>
    <sheetView view="pageLayout" zoomScaleNormal="100" workbookViewId="0">
      <selection sqref="A1:E1"/>
    </sheetView>
  </sheetViews>
  <sheetFormatPr defaultRowHeight="15"/>
  <cols>
    <col min="1" max="1" width="9.90625" customWidth="1"/>
    <col min="2" max="2" width="11.6328125" customWidth="1"/>
    <col min="3" max="3" width="9.36328125" customWidth="1"/>
    <col min="4" max="4" width="1.54296875" customWidth="1"/>
    <col min="5" max="8" width="10.1796875" customWidth="1"/>
    <col min="9" max="11" width="3.6328125" customWidth="1"/>
    <col min="12" max="13" width="0.1796875" customWidth="1"/>
  </cols>
  <sheetData>
    <row r="1" spans="1:11" ht="32.25" customHeight="1">
      <c r="A1" s="51" t="s">
        <v>7</v>
      </c>
      <c r="B1" s="51"/>
      <c r="C1" s="51"/>
      <c r="D1" s="51"/>
      <c r="E1" s="51"/>
      <c r="F1" s="12" t="s">
        <v>6</v>
      </c>
      <c r="G1" s="11" t="s">
        <v>5</v>
      </c>
      <c r="H1" s="11" t="s">
        <v>4</v>
      </c>
      <c r="I1" s="42" t="s">
        <v>3</v>
      </c>
      <c r="J1" s="42"/>
      <c r="K1" s="43"/>
    </row>
    <row r="2" spans="1:11" ht="29.25" customHeight="1">
      <c r="A2" s="52" t="str">
        <f>VLOOKUP(TEXT(F2,"0000"),Data!A6:G9,2,FALSE)</f>
        <v>ANIMATION</v>
      </c>
      <c r="B2" s="53"/>
      <c r="C2" s="53"/>
      <c r="D2" s="53"/>
      <c r="E2" s="54"/>
      <c r="F2" s="25" t="s">
        <v>28</v>
      </c>
      <c r="G2" s="10">
        <f>VLOOKUP(TEXT(F2,"0000"),Data!A6:G9,3,FALSE)</f>
        <v>61123</v>
      </c>
      <c r="H2" s="9" t="str">
        <f>VLOOKUP(TEXT(F2,"0000"),Data!A6:G9,4,FALSE)</f>
        <v>06892</v>
      </c>
      <c r="I2" s="48" t="str">
        <f>VLOOKUP(TEXT(F2,"0000"),Data!A6:G9,5,FALSE)</f>
        <v>Advance Diploma</v>
      </c>
      <c r="J2" s="49"/>
      <c r="K2" s="50"/>
    </row>
    <row r="3" spans="1:11" ht="18" customHeight="1">
      <c r="A3" s="55"/>
      <c r="B3" s="56"/>
      <c r="C3" s="56"/>
      <c r="D3" s="56"/>
      <c r="E3" s="57"/>
      <c r="F3" s="61" t="s">
        <v>2</v>
      </c>
      <c r="G3" s="62"/>
      <c r="H3" s="47" t="s">
        <v>1</v>
      </c>
      <c r="I3" s="42"/>
      <c r="J3" s="42"/>
      <c r="K3" s="43"/>
    </row>
    <row r="4" spans="1:11" ht="33" customHeight="1">
      <c r="A4" s="58"/>
      <c r="B4" s="59"/>
      <c r="C4" s="59"/>
      <c r="D4" s="59"/>
      <c r="E4" s="60"/>
      <c r="F4" s="48" t="str">
        <f>VLOOKUP(TEXT(F2,"0000"),Data!A6:G9,6,FALSE)</f>
        <v>Media</v>
      </c>
      <c r="G4" s="50"/>
      <c r="H4" s="44" t="str">
        <f>VLOOKUP(TEXT(F2,"0000"),Data!A6:G9,7,FALSE)</f>
        <v>FW/FW/FW</v>
      </c>
      <c r="I4" s="45"/>
      <c r="J4" s="45"/>
      <c r="K4" s="46"/>
    </row>
    <row r="5" spans="1:11" ht="8.25" customHeight="1">
      <c r="A5" s="8"/>
      <c r="B5" s="7"/>
      <c r="C5" s="7"/>
      <c r="G5" s="7"/>
      <c r="H5" s="7"/>
      <c r="I5" s="7"/>
      <c r="J5" s="7"/>
    </row>
    <row r="6" spans="1:11" ht="24" customHeight="1">
      <c r="A6" s="34" t="s">
        <v>0</v>
      </c>
      <c r="B6" s="35"/>
      <c r="C6" s="35"/>
      <c r="D6" s="35"/>
      <c r="E6" s="35"/>
      <c r="F6" s="35"/>
      <c r="G6" s="35"/>
      <c r="H6" s="35"/>
      <c r="I6" s="35"/>
      <c r="J6" s="35"/>
      <c r="K6" s="36"/>
    </row>
    <row r="7" spans="1:11" ht="18.75" customHeight="1">
      <c r="A7" s="6"/>
      <c r="B7" s="5"/>
      <c r="C7" s="5"/>
      <c r="D7" s="5"/>
      <c r="E7" s="4">
        <v>2014</v>
      </c>
      <c r="F7" s="4">
        <v>2015</v>
      </c>
      <c r="G7" s="4">
        <v>2016</v>
      </c>
      <c r="H7" s="4">
        <v>2017</v>
      </c>
      <c r="I7" s="40"/>
      <c r="J7" s="40"/>
      <c r="K7" s="41"/>
    </row>
    <row r="8" spans="1:11" s="1" customFormat="1" ht="56.25" customHeight="1">
      <c r="A8" s="32" t="s">
        <v>45</v>
      </c>
      <c r="B8" s="33"/>
      <c r="C8" s="33"/>
      <c r="D8" s="3"/>
      <c r="E8" s="2" t="str">
        <f>Data!A15</f>
        <v>Acceptable</v>
      </c>
      <c r="F8" s="2" t="str">
        <f>Data!B15</f>
        <v>Acceptable</v>
      </c>
      <c r="G8" s="2" t="str">
        <f>Data!C15</f>
        <v>Acceptable</v>
      </c>
      <c r="H8" s="2" t="str">
        <f>Data!D15</f>
        <v>Attention</v>
      </c>
      <c r="I8" s="37" t="str">
        <f>Data!E15</f>
        <v>Superior</v>
      </c>
      <c r="J8" s="38"/>
      <c r="K8" s="39"/>
    </row>
    <row r="10" spans="1:11">
      <c r="A10" s="8" t="str">
        <f>CONCATENATE(TEXT(Report!F2,"0000")," - ",A2, " - 2018 PROGRAM REPORT")</f>
        <v>1129 - ANIMATION - 2018 PROGRAM REPORT</v>
      </c>
      <c r="I10" s="17"/>
    </row>
  </sheetData>
  <mergeCells count="12">
    <mergeCell ref="A8:C8"/>
    <mergeCell ref="A6:K6"/>
    <mergeCell ref="I8:K8"/>
    <mergeCell ref="I7:K7"/>
    <mergeCell ref="I1:K1"/>
    <mergeCell ref="H4:K4"/>
    <mergeCell ref="H3:K3"/>
    <mergeCell ref="I2:K2"/>
    <mergeCell ref="A1:E1"/>
    <mergeCell ref="F4:G4"/>
    <mergeCell ref="A2:E4"/>
    <mergeCell ref="F3:G3"/>
  </mergeCells>
  <pageMargins left="0.3" right="0.3" top="0.8" bottom="0.4" header="0.3" footer="0.3"/>
  <pageSetup orientation="portrait" r:id="rId1"/>
  <headerFooter>
    <oddHeader xml:space="preserve">&amp;L&amp;"-,Regular"&amp;20&amp;UExample Program Report&amp;R
</oddHead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4EF2F1-248F-45D8-95AF-2195E64C0504}">
  <sheetPr codeName="Sheet3"/>
  <dimension ref="A1:D10"/>
  <sheetViews>
    <sheetView zoomScale="160" zoomScaleNormal="160" workbookViewId="0"/>
  </sheetViews>
  <sheetFormatPr defaultRowHeight="15"/>
  <cols>
    <col min="1" max="1" width="8.08984375" style="14" customWidth="1"/>
    <col min="2" max="2" width="8.81640625" style="14" customWidth="1"/>
    <col min="3" max="3" width="8.984375E-2" style="14" hidden="1" customWidth="1"/>
  </cols>
  <sheetData>
    <row r="1" spans="1:4">
      <c r="D1" t="s">
        <v>49</v>
      </c>
    </row>
    <row r="2" spans="1:4" ht="52.5" customHeight="1">
      <c r="A2" s="13" t="s">
        <v>8</v>
      </c>
      <c r="D2" s="17" t="s">
        <v>48</v>
      </c>
    </row>
    <row r="3" spans="1:4">
      <c r="A3" s="13"/>
    </row>
    <row r="4" spans="1:4" ht="52.5" customHeight="1">
      <c r="A4" s="13" t="s">
        <v>9</v>
      </c>
      <c r="D4" t="s">
        <v>50</v>
      </c>
    </row>
    <row r="5" spans="1:4">
      <c r="A5" s="13"/>
    </row>
    <row r="6" spans="1:4" ht="52.5" customHeight="1">
      <c r="A6" s="13" t="s">
        <v>10</v>
      </c>
      <c r="D6" t="s">
        <v>51</v>
      </c>
    </row>
    <row r="7" spans="1:4">
      <c r="A7" s="13"/>
    </row>
    <row r="8" spans="1:4" ht="51.75" customHeight="1">
      <c r="A8" s="13" t="s">
        <v>11</v>
      </c>
      <c r="D8" t="s">
        <v>52</v>
      </c>
    </row>
    <row r="9" spans="1:4" ht="14.25" customHeight="1"/>
    <row r="10" spans="1:4" ht="0.75" hidden="1" customHeight="1">
      <c r="C10" s="15" t="s">
        <v>12</v>
      </c>
    </row>
  </sheetData>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8CAD5B0D39EEF4180FAF78645AB3BF3" ma:contentTypeVersion="12" ma:contentTypeDescription="Create a new document." ma:contentTypeScope="" ma:versionID="e3a6c467205e19d56000908c82bd1ca2">
  <xsd:schema xmlns:xsd="http://www.w3.org/2001/XMLSchema" xmlns:xs="http://www.w3.org/2001/XMLSchema" xmlns:p="http://schemas.microsoft.com/office/2006/metadata/properties" xmlns:ns2="0e58ca87-4072-470e-8b31-171c5a2c0324" xmlns:ns3="a194edfb-0d26-4a04-9fce-796958ba02c9" targetNamespace="http://schemas.microsoft.com/office/2006/metadata/properties" ma:root="true" ma:fieldsID="8d2e7e77716153d8d1a8783d648d6943" ns2:_="" ns3:_="">
    <xsd:import namespace="0e58ca87-4072-470e-8b31-171c5a2c0324"/>
    <xsd:import namespace="a194edfb-0d26-4a04-9fce-796958ba02c9"/>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58ca87-4072-470e-8b31-171c5a2c03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194edfb-0d26-4a04-9fce-796958ba02c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030B227-AF88-4703-AB46-E0EBDC8B43DA}"/>
</file>

<file path=customXml/itemProps2.xml><?xml version="1.0" encoding="utf-8"?>
<ds:datastoreItem xmlns:ds="http://schemas.openxmlformats.org/officeDocument/2006/customXml" ds:itemID="{0539DB8D-E6C3-4C25-BC8D-55D46739E4CD}"/>
</file>

<file path=customXml/itemProps3.xml><?xml version="1.0" encoding="utf-8"?>
<ds:datastoreItem xmlns:ds="http://schemas.openxmlformats.org/officeDocument/2006/customXml" ds:itemID="{35751554-514D-451E-89FB-48BFEED05F1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Data</vt:lpstr>
      <vt:lpstr>Report</vt:lpstr>
      <vt:lpstr>Images</vt:lpstr>
      <vt:lpstr>Acceptable</vt:lpstr>
      <vt:lpstr>Attention</vt:lpstr>
      <vt:lpstr>None</vt:lpstr>
      <vt:lpstr>Superior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Fraser Hay</cp:lastModifiedBy>
  <dcterms:created xsi:type="dcterms:W3CDTF">2019-05-08T13:09:49Z</dcterms:created>
  <dcterms:modified xsi:type="dcterms:W3CDTF">2020-05-12T16:07:24Z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0x01010028CAD5B0D39EEF4180FAF78645AB3BF3</vt:lpwstr>
  </property>
  <property fmtid="{D5CDD505-2E9C-101B-9397-08002B2CF9AE}" pid="3" name="Order">
    <vt:r8>11724000</vt:r8>
  </property>
</Properties>
</file>